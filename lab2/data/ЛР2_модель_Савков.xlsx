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Отчёт об устойчивости" sheetId="2" state="visible" r:id="rId2"/>
    <sheet name="Налаштування Sol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3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Longer Boats — виробнича задача, варіант 6</t>
        </is>
      </c>
    </row>
    <row r="2">
      <c r="A2" s="2" t="inlineStr">
        <is>
          <t>Розв’язок отримано симплекс-методом. Одиниця плану: шт./місяць</t>
        </is>
      </c>
    </row>
    <row r="4">
      <c r="A4" s="3" t="inlineStr">
        <is>
          <t>Показник</t>
        </is>
      </c>
      <c r="B4" s="3" t="inlineStr">
        <is>
          <t>Sting</t>
        </is>
      </c>
      <c r="C4" s="3" t="inlineStr">
        <is>
          <t>Ray</t>
        </is>
      </c>
      <c r="D4" s="3" t="inlineStr">
        <is>
          <t>Breaker</t>
        </is>
      </c>
      <c r="E4" s="3" t="inlineStr">
        <is>
          <t>Marlin</t>
        </is>
      </c>
      <c r="F4" s="3" t="inlineStr">
        <is>
          <t>Разом</t>
        </is>
      </c>
    </row>
    <row r="5">
      <c r="A5" t="inlineStr">
        <is>
          <t>Прибуток з одиниці</t>
        </is>
      </c>
      <c r="B5" s="4" t="n">
        <v>40</v>
      </c>
      <c r="C5" s="4" t="n">
        <v>62</v>
      </c>
      <c r="D5" s="4" t="n">
        <v>19</v>
      </c>
      <c r="E5" s="4" t="n">
        <v>57</v>
      </c>
    </row>
    <row r="6">
      <c r="A6" s="5" t="inlineStr">
        <is>
          <t>ВИПУСК (змінні рішення)</t>
        </is>
      </c>
      <c r="B6" s="6" t="n">
        <v>0</v>
      </c>
      <c r="C6" s="6" t="n">
        <v>155.6667</v>
      </c>
      <c r="D6" s="6" t="n">
        <v>0</v>
      </c>
      <c r="E6" s="6" t="n">
        <v>79.66670000000001</v>
      </c>
    </row>
    <row r="7">
      <c r="A7" s="5" t="inlineStr">
        <is>
          <t>ПРИБУТОК (цільова функція)</t>
        </is>
      </c>
      <c r="F7" s="7">
        <f>SUMPRODUCT(B5:E5,B6:E6)</f>
        <v/>
      </c>
    </row>
    <row r="9">
      <c r="A9" s="3" t="inlineStr">
        <is>
          <t>Ресурс</t>
        </is>
      </c>
      <c r="B9" s="3" t="inlineStr">
        <is>
          <t>Sting</t>
        </is>
      </c>
      <c r="C9" s="3" t="inlineStr">
        <is>
          <t>Ray</t>
        </is>
      </c>
      <c r="D9" s="3" t="inlineStr">
        <is>
          <t>Breaker</t>
        </is>
      </c>
      <c r="E9" s="3" t="inlineStr">
        <is>
          <t>Marlin</t>
        </is>
      </c>
      <c r="F9" s="3" t="inlineStr">
        <is>
          <t>Витрачено</t>
        </is>
      </c>
      <c r="G9" s="3" t="inlineStr"/>
      <c r="H9" s="3" t="inlineStr">
        <is>
          <t>Запас</t>
        </is>
      </c>
      <c r="I9" s="3" t="inlineStr">
        <is>
          <t>Залишок</t>
        </is>
      </c>
    </row>
    <row r="10">
      <c r="A10" s="4" t="inlineStr">
        <is>
          <t>Склопластик, м²</t>
        </is>
      </c>
      <c r="B10" s="4" t="n">
        <v>3</v>
      </c>
      <c r="C10" s="4" t="n">
        <v>2</v>
      </c>
      <c r="D10" s="4" t="n">
        <v>1</v>
      </c>
      <c r="E10" s="4" t="n">
        <v>4</v>
      </c>
      <c r="F10" s="4">
        <f>SUMPRODUCT(B10:E10,$B$6:$E$6)</f>
        <v/>
      </c>
      <c r="G10" s="8" t="inlineStr">
        <is>
          <t>&lt;=</t>
        </is>
      </c>
      <c r="H10" s="4" t="n">
        <v>630</v>
      </c>
      <c r="I10" s="4">
        <f>H10-F10</f>
        <v/>
      </c>
    </row>
    <row r="11">
      <c r="A11" s="4" t="inlineStr">
        <is>
          <t>Столярний цех, год</t>
        </is>
      </c>
      <c r="B11" s="4" t="n">
        <v>4</v>
      </c>
      <c r="C11" s="4" t="n">
        <v>2</v>
      </c>
      <c r="D11" s="4" t="n">
        <v>2</v>
      </c>
      <c r="E11" s="4" t="n">
        <v>1</v>
      </c>
      <c r="F11" s="4">
        <f>SUMPRODUCT(B11:E11,$B$6:$E$6)</f>
        <v/>
      </c>
      <c r="G11" s="8" t="inlineStr">
        <is>
          <t>&lt;=</t>
        </is>
      </c>
      <c r="H11" s="4" t="n">
        <v>391</v>
      </c>
      <c r="I11" s="4">
        <f>H11-F11</f>
        <v/>
      </c>
    </row>
    <row r="12">
      <c r="A12" s="4" t="inlineStr">
        <is>
          <t>Фарбувальний цех, год</t>
        </is>
      </c>
      <c r="B12" s="4" t="n">
        <v>3</v>
      </c>
      <c r="C12" s="4" t="n">
        <v>5</v>
      </c>
      <c r="D12" s="4" t="n">
        <v>1</v>
      </c>
      <c r="E12" s="4" t="n">
        <v>2</v>
      </c>
      <c r="F12" s="4">
        <f>SUMPRODUCT(B12:E12,$B$6:$E$6)</f>
        <v/>
      </c>
      <c r="G12" s="8" t="inlineStr">
        <is>
          <t>&lt;=</t>
        </is>
      </c>
      <c r="H12" s="4" t="n">
        <v>1349</v>
      </c>
      <c r="I12" s="4">
        <f>H12-F12</f>
        <v/>
      </c>
    </row>
    <row r="13">
      <c r="A13" s="4" t="inlineStr">
        <is>
          <t>Такелаж, компл.</t>
        </is>
      </c>
      <c r="B13" s="4" t="n">
        <v>3</v>
      </c>
      <c r="C13" s="4" t="n">
        <v>2</v>
      </c>
      <c r="D13" s="4" t="n">
        <v>0</v>
      </c>
      <c r="E13" s="4" t="n">
        <v>2</v>
      </c>
      <c r="F13" s="4">
        <f>SUMPRODUCT(B13:E13,$B$6:$E$6)</f>
        <v/>
      </c>
      <c r="G13" s="8" t="inlineStr">
        <is>
          <t>&lt;=</t>
        </is>
      </c>
      <c r="H13" s="4" t="n">
        <v>811</v>
      </c>
      <c r="I13" s="4">
        <f>H13-F13</f>
        <v/>
      </c>
    </row>
    <row r="14">
      <c r="A14" s="4" t="inlineStr">
        <is>
          <t>Ділянка добудови, год</t>
        </is>
      </c>
      <c r="B14" s="4" t="n">
        <v>6</v>
      </c>
      <c r="C14" s="4" t="n">
        <v>4</v>
      </c>
      <c r="D14" s="4" t="n">
        <v>6</v>
      </c>
      <c r="E14" s="4" t="n">
        <v>3</v>
      </c>
      <c r="F14" s="4">
        <f>SUMPRODUCT(B14:E14,$B$6:$E$6)</f>
        <v/>
      </c>
      <c r="G14" s="8" t="inlineStr">
        <is>
          <t>&lt;=</t>
        </is>
      </c>
      <c r="H14" s="4" t="n">
        <v>1085</v>
      </c>
      <c r="I14" s="4">
        <f>H14-F14</f>
        <v/>
      </c>
    </row>
    <row r="17">
      <c r="A17" s="5" t="inlineStr">
        <is>
          <t>Пропозиція постачальника (етап 6)</t>
        </is>
      </c>
    </row>
    <row r="18">
      <c r="A18" t="inlineStr">
        <is>
          <t>Ресурс</t>
        </is>
      </c>
      <c r="B18" t="inlineStr">
        <is>
          <t>Столярний цех, год</t>
        </is>
      </c>
    </row>
    <row r="19">
      <c r="A19" t="inlineStr">
        <is>
          <t>Ціна за одиницю</t>
        </is>
      </c>
      <c r="B19" t="n">
        <v>29.5</v>
      </c>
    </row>
    <row r="20">
      <c r="A20" t="inlineStr">
        <is>
          <t>Доступний обсяг</t>
        </is>
      </c>
      <c r="B20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Microsoft Excel — Отчёт об устойчивости</t>
        </is>
      </c>
    </row>
    <row r="2">
      <c r="A2" s="2" t="inlineStr">
        <is>
          <t>Рабочий лист: [ЛР2_модель_Савков.xlsx]Модель</t>
        </is>
      </c>
    </row>
    <row r="4">
      <c r="A4" s="5" t="inlineStr">
        <is>
          <t>Изменяемые ячейки</t>
        </is>
      </c>
    </row>
    <row r="5">
      <c r="A5" s="10" t="inlineStr">
        <is>
          <t>Ячейка</t>
        </is>
      </c>
      <c r="B5" s="10" t="inlineStr">
        <is>
          <t>Имя</t>
        </is>
      </c>
      <c r="C5" s="10" t="inlineStr">
        <is>
          <t>Окончательное значение</t>
        </is>
      </c>
      <c r="D5" s="10" t="inlineStr">
        <is>
          <t>Приведённая стоимость</t>
        </is>
      </c>
      <c r="E5" s="10" t="inlineStr">
        <is>
          <t>Целевой коэффициент</t>
        </is>
      </c>
      <c r="F5" s="10" t="inlineStr">
        <is>
          <t>Допустимое увеличение</t>
        </is>
      </c>
      <c r="G5" s="10" t="inlineStr">
        <is>
          <t>Допустимое уменьшение</t>
        </is>
      </c>
    </row>
    <row r="6">
      <c r="A6" s="4" t="inlineStr">
        <is>
          <t>$B$6</t>
        </is>
      </c>
      <c r="B6" s="4" t="inlineStr">
        <is>
          <t>Sting</t>
        </is>
      </c>
      <c r="C6" s="4" t="n">
        <v>0</v>
      </c>
      <c r="D6" s="4" t="n">
        <v>-75.33329999999999</v>
      </c>
      <c r="E6" s="4" t="n">
        <v>40</v>
      </c>
      <c r="F6" s="4" t="n">
        <v>75.33</v>
      </c>
      <c r="G6" s="4" t="inlineStr">
        <is>
          <t>1E+30</t>
        </is>
      </c>
    </row>
    <row r="7">
      <c r="A7" s="4" t="inlineStr">
        <is>
          <t>$C$6</t>
        </is>
      </c>
      <c r="B7" s="4" t="inlineStr">
        <is>
          <t>Ray</t>
        </is>
      </c>
      <c r="C7" s="4" t="n">
        <v>155.6667</v>
      </c>
      <c r="D7" s="4" t="n">
        <v>0</v>
      </c>
      <c r="E7" s="4" t="n">
        <v>62</v>
      </c>
      <c r="F7" s="4" t="n">
        <v>52</v>
      </c>
      <c r="G7" s="4" t="n">
        <v>29.43</v>
      </c>
    </row>
    <row r="8">
      <c r="A8" s="4" t="inlineStr">
        <is>
          <t>$D$6</t>
        </is>
      </c>
      <c r="B8" s="4" t="inlineStr">
        <is>
          <t>Breaker</t>
        </is>
      </c>
      <c r="C8" s="4" t="n">
        <v>0</v>
      </c>
      <c r="D8" s="4" t="n">
        <v>-34.3333</v>
      </c>
      <c r="E8" s="4" t="n">
        <v>19</v>
      </c>
      <c r="F8" s="4" t="n">
        <v>34.33</v>
      </c>
      <c r="G8" s="4" t="inlineStr">
        <is>
          <t>1E+30</t>
        </is>
      </c>
    </row>
    <row r="9">
      <c r="A9" s="4" t="inlineStr">
        <is>
          <t>$E$6</t>
        </is>
      </c>
      <c r="B9" s="4" t="inlineStr">
        <is>
          <t>Marlin</t>
        </is>
      </c>
      <c r="C9" s="4" t="n">
        <v>79.66670000000001</v>
      </c>
      <c r="D9" s="4" t="n">
        <v>0</v>
      </c>
      <c r="E9" s="4" t="n">
        <v>57</v>
      </c>
      <c r="F9" s="4" t="n">
        <v>67</v>
      </c>
      <c r="G9" s="4" t="n">
        <v>26</v>
      </c>
    </row>
    <row r="12">
      <c r="A12" s="5" t="inlineStr">
        <is>
          <t>Ограничения</t>
        </is>
      </c>
    </row>
    <row r="13">
      <c r="A13" s="10" t="inlineStr">
        <is>
          <t>Ячейка</t>
        </is>
      </c>
      <c r="B13" s="10" t="inlineStr">
        <is>
          <t>Имя</t>
        </is>
      </c>
      <c r="C13" s="10" t="inlineStr">
        <is>
          <t>Окончательное значение</t>
        </is>
      </c>
      <c r="D13" s="10" t="inlineStr">
        <is>
          <t>Теневая цена</t>
        </is>
      </c>
      <c r="E13" s="10" t="inlineStr">
        <is>
          <t>Ограничение правая часть</t>
        </is>
      </c>
      <c r="F13" s="10" t="inlineStr">
        <is>
          <t>Допустимое увеличение</t>
        </is>
      </c>
      <c r="G13" s="10" t="inlineStr">
        <is>
          <t>Допустимое уменьшение</t>
        </is>
      </c>
    </row>
    <row r="14">
      <c r="A14" s="4" t="inlineStr">
        <is>
          <t>$F$10</t>
        </is>
      </c>
      <c r="B14" s="4" t="inlineStr">
        <is>
          <t>Склопластик, м²</t>
        </is>
      </c>
      <c r="C14" s="4" t="n">
        <v>630</v>
      </c>
      <c r="D14" s="4" t="n">
        <v>8.666700000000001</v>
      </c>
      <c r="E14" s="4" t="n">
        <v>630</v>
      </c>
      <c r="F14" s="4" t="n">
        <v>670</v>
      </c>
      <c r="G14" s="4" t="n">
        <v>239</v>
      </c>
    </row>
    <row r="15">
      <c r="A15" s="4" t="inlineStr">
        <is>
          <t>$F$11</t>
        </is>
      </c>
      <c r="B15" s="4" t="inlineStr">
        <is>
          <t>Столярний цех, год</t>
        </is>
      </c>
      <c r="C15" s="4" t="n">
        <v>391</v>
      </c>
      <c r="D15" s="4" t="n">
        <v>22.3333</v>
      </c>
      <c r="E15" s="4" t="n">
        <v>391</v>
      </c>
      <c r="F15" s="4" t="n">
        <v>134</v>
      </c>
      <c r="G15" s="4" t="n">
        <v>233.5</v>
      </c>
    </row>
    <row r="16">
      <c r="A16" s="4" t="inlineStr">
        <is>
          <t>$F$12</t>
        </is>
      </c>
      <c r="B16" s="4" t="inlineStr">
        <is>
          <t>Фарбувальний цех, год</t>
        </is>
      </c>
      <c r="C16" s="4" t="n">
        <v>937.67</v>
      </c>
      <c r="D16" s="4" t="n">
        <v>0</v>
      </c>
      <c r="E16" s="4" t="n">
        <v>1349</v>
      </c>
      <c r="F16" s="4" t="inlineStr">
        <is>
          <t>1E+30</t>
        </is>
      </c>
      <c r="G16" s="4" t="n">
        <v>411.33</v>
      </c>
    </row>
    <row r="17">
      <c r="A17" s="4" t="inlineStr">
        <is>
          <t>$F$13</t>
        </is>
      </c>
      <c r="B17" s="4" t="inlineStr">
        <is>
          <t>Такелаж, компл.</t>
        </is>
      </c>
      <c r="C17" s="4" t="n">
        <v>470.67</v>
      </c>
      <c r="D17" s="4" t="n">
        <v>0</v>
      </c>
      <c r="E17" s="4" t="n">
        <v>811</v>
      </c>
      <c r="F17" s="4" t="inlineStr">
        <is>
          <t>1E+30</t>
        </is>
      </c>
      <c r="G17" s="4" t="n">
        <v>340.33</v>
      </c>
    </row>
    <row r="18">
      <c r="A18" s="4" t="inlineStr">
        <is>
          <t>$F$14</t>
        </is>
      </c>
      <c r="B18" s="4" t="inlineStr">
        <is>
          <t>Ділянка добудови, год</t>
        </is>
      </c>
      <c r="C18" s="4" t="n">
        <v>861.67</v>
      </c>
      <c r="D18" s="4" t="n">
        <v>0</v>
      </c>
      <c r="E18" s="4" t="n">
        <v>1085</v>
      </c>
      <c r="F18" s="4" t="inlineStr">
        <is>
          <t>1E+30</t>
        </is>
      </c>
      <c r="G18" s="4" t="n">
        <v>223.33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Параметри, з якими розв’язано задачу</t>
        </is>
      </c>
    </row>
    <row r="2"/>
    <row r="3">
      <c r="A3" t="inlineStr">
        <is>
          <t>Оптимизировать целевую функцию:   $F$7</t>
        </is>
      </c>
    </row>
    <row r="4">
      <c r="A4" t="inlineStr">
        <is>
          <t>До:                               Максимум</t>
        </is>
      </c>
    </row>
    <row r="5">
      <c r="A5" t="inlineStr">
        <is>
          <t>Изменяя ячейки переменных:        $B$6:$E$6</t>
        </is>
      </c>
    </row>
    <row r="6">
      <c r="A6" t="inlineStr">
        <is>
          <t>Ограничения:                      $F$10:$F$14 &lt;= $H$10:$H$14</t>
        </is>
      </c>
    </row>
    <row r="7">
      <c r="A7" t="inlineStr">
        <is>
          <t xml:space="preserve">                                  $B$6:$E$6 &gt;= 0</t>
        </is>
      </c>
    </row>
    <row r="8">
      <c r="A8" t="inlineStr">
        <is>
          <t>Метод решения:                    Симплекс-метод для линейных задач</t>
        </is>
      </c>
    </row>
    <row r="9"/>
    <row r="10">
      <c r="A10" s="5" t="inlineStr">
        <is>
          <t>Результат</t>
        </is>
      </c>
    </row>
    <row r="11">
      <c r="A11" t="inlineStr">
        <is>
          <t>Оптимальний план:  Sting 0 | Ray 155.67 | Breaker 0 | Marlin 79.67</t>
        </is>
      </c>
    </row>
    <row r="12">
      <c r="A12" t="inlineStr">
        <is>
          <t>Прибуток:          14192.33</t>
        </is>
      </c>
    </row>
    <row r="13">
      <c r="A13" t="inlineStr">
        <is>
          <t>Зв’язні обмеження: склопластик і столярний цех (витрачено повністю)</t>
        </is>
      </c>
    </row>
    <row r="14">
      <c r="A14" t="inlineStr">
        <is>
          <t>Вільні ресурси:    фарбувальний цех, такелаж, ділянка добудови</t>
        </is>
      </c>
    </row>
    <row r="15"/>
    <row r="16">
      <c r="A16" s="5" t="inlineStr">
        <is>
          <t>Де в Excel 2011 шукати Solver</t>
        </is>
      </c>
    </row>
    <row r="17">
      <c r="A17" t="inlineStr">
        <is>
          <t>Сервис → Надстройки...  →  галочка «Поиск решения»</t>
        </is>
      </c>
    </row>
    <row r="18">
      <c r="A18" t="inlineStr">
        <is>
          <t>Сервис → Поиск решения...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2026-09-19T22:10:03Z</dcterms:created>
  <dcterms:modified xsi:type="dcterms:W3CDTF">2026-09-20T08:51:34Z</dcterms:modified>
</cp:coreProperties>
</file>